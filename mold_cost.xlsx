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Irishka\Desktop\Project\"/>
    </mc:Choice>
  </mc:AlternateContent>
  <xr:revisionPtr revIDLastSave="0" documentId="8_{4DA68829-EEA7-4523-BC38-601C851342D8}" xr6:coauthVersionLast="47" xr6:coauthVersionMax="47" xr10:uidLastSave="{00000000-0000-0000-0000-000000000000}"/>
  <bookViews>
    <workbookView xWindow="-108" yWindow="-108" windowWidth="23256" windowHeight="13896" xr2:uid="{72776874-499C-4B20-AAC4-724C4D0104B2}"/>
  </bookViews>
  <sheets>
    <sheet name="Лист1" sheetId="1" r:id="rId1"/>
    <sheet name="Цен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Ирина Иванова</author>
  </authors>
  <commentList>
    <comment ref="I1" authorId="0" shapeId="0" xr:uid="{943ABED4-420C-41DF-AC2F-213909F06EFA}">
      <text>
        <r>
          <rPr>
            <b/>
            <sz val="9"/>
            <color indexed="81"/>
            <rFont val="Tahoma"/>
            <family val="2"/>
            <charset val="204"/>
          </rPr>
          <t>Ирина Иванова:</t>
        </r>
        <r>
          <rPr>
            <sz val="9"/>
            <color indexed="81"/>
            <rFont val="Tahoma"/>
            <family val="2"/>
            <charset val="204"/>
          </rPr>
          <t xml:space="preserve">
включая доставку
</t>
        </r>
      </text>
    </comment>
  </commentList>
</comments>
</file>

<file path=xl/sharedStrings.xml><?xml version="1.0" encoding="utf-8"?>
<sst xmlns="http://schemas.openxmlformats.org/spreadsheetml/2006/main" count="49" uniqueCount="40">
  <si>
    <t xml:space="preserve">Name </t>
  </si>
  <si>
    <t>Дс-514</t>
  </si>
  <si>
    <t>ToolArt_ST_630</t>
  </si>
  <si>
    <t>S</t>
  </si>
  <si>
    <t>ToolArt_SM_625</t>
  </si>
  <si>
    <t xml:space="preserve">Смола эпоксидная </t>
  </si>
  <si>
    <t>Отвердитель эпоксидной смолы</t>
  </si>
  <si>
    <t>Катализатор Юнисил</t>
  </si>
  <si>
    <t>Силикон Юнисил 9131</t>
  </si>
  <si>
    <t>Стеклохолст</t>
  </si>
  <si>
    <t>ВГВ</t>
  </si>
  <si>
    <t>Дкл-42</t>
  </si>
  <si>
    <t>Ду-198</t>
  </si>
  <si>
    <t>Ду-199</t>
  </si>
  <si>
    <t>Дк-225</t>
  </si>
  <si>
    <t>Рым-гайка</t>
  </si>
  <si>
    <t>АД31Т1 100х20х3</t>
  </si>
  <si>
    <t>Дк-484</t>
  </si>
  <si>
    <t>Дк-211</t>
  </si>
  <si>
    <t>Дс-516</t>
  </si>
  <si>
    <t>Дс-513</t>
  </si>
  <si>
    <t>Параллель-4</t>
  </si>
  <si>
    <t>иДк-5700</t>
  </si>
  <si>
    <t>Дс-74</t>
  </si>
  <si>
    <t>Дс-517</t>
  </si>
  <si>
    <t>Дс-522</t>
  </si>
  <si>
    <t>М-237</t>
  </si>
  <si>
    <t>Дс-518</t>
  </si>
  <si>
    <t>Дс-520</t>
  </si>
  <si>
    <t>Бриз-2</t>
  </si>
  <si>
    <t>Дф-343</t>
  </si>
  <si>
    <t>Дс-515</t>
  </si>
  <si>
    <t>*Цены с НДС</t>
  </si>
  <si>
    <t>mold_len</t>
  </si>
  <si>
    <t>mold_wid</t>
  </si>
  <si>
    <t>mold_hi</t>
  </si>
  <si>
    <t>power</t>
  </si>
  <si>
    <t>VGV</t>
  </si>
  <si>
    <t>mold_cost</t>
  </si>
  <si>
    <t>calculated_mold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</si>
</sst>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F89E-9ED5-4DBA-BC58-B04E28CC4AB0}">
  <sheetPr codeName="Лист1"/>
  <dimension ref="A1:R21"/>
  <sheetViews>
    <sheetView tabSelected="1" workbookViewId="0">
      <selection activeCell="J24" sqref="J24"/>
    </sheetView>
  </sheetViews>
  <sheetFormatPr defaultRowHeight="14.4" x14ac:dyDescent="0.3"/>
  <cols>
    <col min="1" max="1" width="17.88671875" bestFit="1" customWidth="1"/>
    <col min="2" max="2" width="17.88671875" customWidth="1"/>
    <col min="4" max="6" width="17.88671875" customWidth="1"/>
    <col min="7" max="7" width="14.6640625" bestFit="1" customWidth="1"/>
    <col min="8" max="8" width="15.44140625" bestFit="1" customWidth="1"/>
    <col min="9" max="9" width="18.5546875" bestFit="1" customWidth="1"/>
    <col min="10" max="10" width="31.44140625" bestFit="1" customWidth="1"/>
    <col min="11" max="11" width="18.5546875" customWidth="1"/>
    <col min="12" max="12" width="20.33203125" bestFit="1" customWidth="1"/>
    <col min="13" max="13" width="21.44140625" bestFit="1" customWidth="1"/>
    <col min="14" max="14" width="12.44140625" bestFit="1" customWidth="1"/>
    <col min="15" max="15" width="16.33203125" bestFit="1" customWidth="1"/>
    <col min="17" max="18" width="10.21875" bestFit="1" customWidth="1"/>
  </cols>
  <sheetData>
    <row r="1" spans="1:18" x14ac:dyDescent="0.3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</v>
      </c>
      <c r="G1" t="s">
        <v>2</v>
      </c>
      <c r="H1" t="s">
        <v>4</v>
      </c>
      <c r="I1" t="s">
        <v>5</v>
      </c>
      <c r="J1" t="s">
        <v>6</v>
      </c>
      <c r="K1" t="s">
        <v>15</v>
      </c>
      <c r="L1" t="s">
        <v>7</v>
      </c>
      <c r="M1" t="s">
        <v>8</v>
      </c>
      <c r="N1" t="s">
        <v>9</v>
      </c>
      <c r="O1" t="s">
        <v>16</v>
      </c>
      <c r="P1" t="s">
        <v>37</v>
      </c>
      <c r="Q1" t="s">
        <v>38</v>
      </c>
      <c r="R1" t="s">
        <v>39</v>
      </c>
    </row>
    <row r="2" spans="1:18" x14ac:dyDescent="0.3">
      <c r="A2" t="s">
        <v>1</v>
      </c>
      <c r="B2">
        <v>430</v>
      </c>
      <c r="C2">
        <v>270</v>
      </c>
      <c r="D2">
        <v>70</v>
      </c>
      <c r="E2">
        <v>2</v>
      </c>
      <c r="F2" s="1">
        <f>(B2-2*40)*(C2-2*40)/10^6</f>
        <v>6.6500000000000004E-2</v>
      </c>
      <c r="G2">
        <v>2</v>
      </c>
      <c r="I2">
        <v>3</v>
      </c>
      <c r="J2">
        <v>1.5</v>
      </c>
      <c r="L2">
        <v>0.03</v>
      </c>
      <c r="M2">
        <v>0.3</v>
      </c>
      <c r="N2">
        <v>0.2</v>
      </c>
      <c r="P2">
        <v>1</v>
      </c>
      <c r="Q2" s="1">
        <v>4851.5</v>
      </c>
      <c r="R2" s="1">
        <v>8037.5979546469171</v>
      </c>
    </row>
    <row r="3" spans="1:18" x14ac:dyDescent="0.3">
      <c r="A3" t="s">
        <v>11</v>
      </c>
      <c r="B3">
        <v>410</v>
      </c>
      <c r="C3">
        <v>240</v>
      </c>
      <c r="D3">
        <v>280</v>
      </c>
      <c r="E3">
        <v>1</v>
      </c>
      <c r="F3" s="1">
        <f t="shared" ref="F3:F21" si="0">(B3-2*40)*(C3-2*40)/10^6</f>
        <v>5.28E-2</v>
      </c>
      <c r="H3">
        <v>4.5</v>
      </c>
      <c r="I3">
        <v>4</v>
      </c>
      <c r="J3">
        <v>2</v>
      </c>
      <c r="L3">
        <v>0.02</v>
      </c>
      <c r="M3">
        <v>0.5</v>
      </c>
      <c r="N3">
        <v>0.1</v>
      </c>
      <c r="P3">
        <v>1</v>
      </c>
      <c r="Q3" s="1">
        <v>8648.5</v>
      </c>
      <c r="R3" s="1">
        <v>10067.169946782717</v>
      </c>
    </row>
    <row r="4" spans="1:18" x14ac:dyDescent="0.3">
      <c r="A4" t="s">
        <v>12</v>
      </c>
      <c r="B4">
        <v>505</v>
      </c>
      <c r="C4">
        <v>510</v>
      </c>
      <c r="D4">
        <v>105</v>
      </c>
      <c r="E4">
        <v>2</v>
      </c>
      <c r="F4" s="1">
        <f t="shared" si="0"/>
        <v>0.18275</v>
      </c>
      <c r="H4">
        <v>4.0999999999999996</v>
      </c>
      <c r="I4">
        <v>3</v>
      </c>
      <c r="J4">
        <v>1.5</v>
      </c>
      <c r="M4">
        <v>0.5</v>
      </c>
      <c r="N4">
        <v>1</v>
      </c>
      <c r="P4">
        <v>2</v>
      </c>
      <c r="Q4" s="1">
        <v>7543.9999999999991</v>
      </c>
      <c r="R4" s="1">
        <v>12748.087099157243</v>
      </c>
    </row>
    <row r="5" spans="1:18" x14ac:dyDescent="0.3">
      <c r="A5" t="s">
        <v>13</v>
      </c>
      <c r="B5">
        <v>540</v>
      </c>
      <c r="C5">
        <v>380</v>
      </c>
      <c r="D5">
        <v>105</v>
      </c>
      <c r="E5">
        <v>2</v>
      </c>
      <c r="F5" s="1">
        <f t="shared" si="0"/>
        <v>0.13800000000000001</v>
      </c>
      <c r="H5">
        <v>3.7</v>
      </c>
      <c r="I5">
        <v>3</v>
      </c>
      <c r="J5">
        <v>1.5</v>
      </c>
      <c r="L5">
        <v>0.02</v>
      </c>
      <c r="M5">
        <v>0.4</v>
      </c>
      <c r="N5">
        <v>0.8</v>
      </c>
      <c r="P5">
        <v>2</v>
      </c>
      <c r="Q5" s="1">
        <v>6956</v>
      </c>
      <c r="R5" s="1">
        <v>11265.015655550882</v>
      </c>
    </row>
    <row r="6" spans="1:18" x14ac:dyDescent="0.3">
      <c r="A6" t="s">
        <v>14</v>
      </c>
      <c r="B6">
        <v>1090</v>
      </c>
      <c r="C6">
        <v>355</v>
      </c>
      <c r="D6">
        <v>245</v>
      </c>
      <c r="E6">
        <v>1</v>
      </c>
      <c r="F6" s="1">
        <f t="shared" si="0"/>
        <v>0.27775</v>
      </c>
      <c r="G6">
        <v>8.1</v>
      </c>
      <c r="I6">
        <v>4.2</v>
      </c>
      <c r="J6">
        <v>2.4</v>
      </c>
      <c r="K6">
        <v>6</v>
      </c>
      <c r="L6">
        <v>0.15</v>
      </c>
      <c r="M6">
        <v>1.5</v>
      </c>
      <c r="N6">
        <v>1</v>
      </c>
      <c r="O6">
        <v>3.27</v>
      </c>
      <c r="P6">
        <v>3</v>
      </c>
      <c r="Q6" s="1">
        <v>19600.95</v>
      </c>
      <c r="R6" s="1">
        <v>20255.332503987458</v>
      </c>
    </row>
    <row r="7" spans="1:18" x14ac:dyDescent="0.3">
      <c r="A7" t="s">
        <v>17</v>
      </c>
      <c r="B7">
        <v>1140</v>
      </c>
      <c r="C7">
        <v>285</v>
      </c>
      <c r="D7">
        <v>115</v>
      </c>
      <c r="E7">
        <v>1</v>
      </c>
      <c r="F7" s="1">
        <f t="shared" si="0"/>
        <v>0.21729999999999999</v>
      </c>
      <c r="H7">
        <v>9.6999999999999993</v>
      </c>
      <c r="I7">
        <v>6</v>
      </c>
      <c r="J7">
        <v>3</v>
      </c>
      <c r="L7">
        <v>0.15</v>
      </c>
      <c r="M7">
        <v>1.5</v>
      </c>
      <c r="N7">
        <v>1</v>
      </c>
      <c r="P7">
        <v>3</v>
      </c>
      <c r="Q7" s="1">
        <v>17663.5</v>
      </c>
      <c r="R7" s="1">
        <v>15255.367711042534</v>
      </c>
    </row>
    <row r="8" spans="1:18" x14ac:dyDescent="0.3">
      <c r="A8" t="s">
        <v>18</v>
      </c>
      <c r="B8">
        <v>440</v>
      </c>
      <c r="C8">
        <v>510</v>
      </c>
      <c r="D8">
        <v>370</v>
      </c>
      <c r="E8">
        <v>1</v>
      </c>
      <c r="F8" s="1">
        <f t="shared" si="0"/>
        <v>0.15479999999999999</v>
      </c>
      <c r="G8">
        <v>8.5</v>
      </c>
      <c r="I8">
        <v>5</v>
      </c>
      <c r="J8">
        <v>2.5</v>
      </c>
      <c r="K8">
        <v>6</v>
      </c>
      <c r="L8">
        <v>0.04</v>
      </c>
      <c r="M8">
        <v>1</v>
      </c>
      <c r="N8">
        <v>0.6</v>
      </c>
      <c r="P8">
        <v>8</v>
      </c>
      <c r="Q8" s="1">
        <v>17557</v>
      </c>
      <c r="R8" s="1">
        <v>17166.237866872318</v>
      </c>
    </row>
    <row r="9" spans="1:18" x14ac:dyDescent="0.3">
      <c r="A9" t="s">
        <v>19</v>
      </c>
      <c r="B9">
        <v>275</v>
      </c>
      <c r="C9">
        <v>190</v>
      </c>
      <c r="D9">
        <v>90</v>
      </c>
      <c r="E9">
        <v>2</v>
      </c>
      <c r="F9" s="1">
        <f t="shared" si="0"/>
        <v>2.145E-2</v>
      </c>
      <c r="G9">
        <v>2.2000000000000002</v>
      </c>
      <c r="I9">
        <v>1</v>
      </c>
      <c r="J9">
        <v>0.5</v>
      </c>
      <c r="L9">
        <v>1.4999999999999999E-2</v>
      </c>
      <c r="M9">
        <v>0.5</v>
      </c>
      <c r="N9">
        <v>0.1</v>
      </c>
      <c r="P9">
        <v>4</v>
      </c>
      <c r="Q9" s="1">
        <v>4191</v>
      </c>
      <c r="R9" s="1">
        <v>5729.8957770442521</v>
      </c>
    </row>
    <row r="10" spans="1:18" x14ac:dyDescent="0.3">
      <c r="A10" t="s">
        <v>20</v>
      </c>
      <c r="B10">
        <v>440</v>
      </c>
      <c r="C10">
        <v>270</v>
      </c>
      <c r="D10">
        <v>100</v>
      </c>
      <c r="E10">
        <v>2</v>
      </c>
      <c r="F10" s="1">
        <f t="shared" si="0"/>
        <v>6.8400000000000002E-2</v>
      </c>
      <c r="G10">
        <v>3.3</v>
      </c>
      <c r="I10">
        <v>1.2</v>
      </c>
      <c r="J10">
        <v>0.6</v>
      </c>
      <c r="L10">
        <v>1.4999999999999999E-2</v>
      </c>
      <c r="M10">
        <v>0.5</v>
      </c>
      <c r="N10">
        <v>0.1</v>
      </c>
      <c r="P10">
        <v>4</v>
      </c>
      <c r="Q10" s="1">
        <v>5846</v>
      </c>
      <c r="R10" s="1">
        <v>8475.8259109439987</v>
      </c>
    </row>
    <row r="11" spans="1:18" x14ac:dyDescent="0.3">
      <c r="A11" t="s">
        <v>21</v>
      </c>
      <c r="B11">
        <v>1110</v>
      </c>
      <c r="C11">
        <v>600</v>
      </c>
      <c r="D11">
        <v>95</v>
      </c>
      <c r="E11">
        <v>1</v>
      </c>
      <c r="F11" s="1">
        <f t="shared" si="0"/>
        <v>0.53559999999999997</v>
      </c>
      <c r="G11">
        <v>15</v>
      </c>
      <c r="I11">
        <v>7.7</v>
      </c>
      <c r="J11">
        <v>3.8</v>
      </c>
      <c r="L11">
        <v>0.45</v>
      </c>
      <c r="M11">
        <v>1.5</v>
      </c>
      <c r="N11">
        <v>0.6</v>
      </c>
      <c r="P11">
        <v>10</v>
      </c>
      <c r="Q11" s="1">
        <v>27469</v>
      </c>
      <c r="R11" s="1">
        <v>22940.764169291997</v>
      </c>
    </row>
    <row r="12" spans="1:18" x14ac:dyDescent="0.3">
      <c r="A12" t="s">
        <v>22</v>
      </c>
      <c r="B12">
        <v>1000</v>
      </c>
      <c r="C12">
        <v>450</v>
      </c>
      <c r="D12">
        <v>300</v>
      </c>
      <c r="E12">
        <v>1</v>
      </c>
      <c r="F12" s="1">
        <f t="shared" si="0"/>
        <v>0.34039999999999998</v>
      </c>
      <c r="G12">
        <v>10</v>
      </c>
      <c r="I12">
        <v>6</v>
      </c>
      <c r="J12">
        <v>3</v>
      </c>
      <c r="K12">
        <v>7</v>
      </c>
      <c r="L12">
        <v>2.4E-2</v>
      </c>
      <c r="M12">
        <v>0.8</v>
      </c>
      <c r="N12">
        <v>0.8</v>
      </c>
      <c r="P12">
        <v>6</v>
      </c>
      <c r="Q12" s="1">
        <v>20282.8</v>
      </c>
      <c r="R12" s="1">
        <v>23762.794500000018</v>
      </c>
    </row>
    <row r="13" spans="1:18" x14ac:dyDescent="0.3">
      <c r="A13" t="s">
        <v>23</v>
      </c>
      <c r="B13">
        <v>795</v>
      </c>
      <c r="C13">
        <v>385</v>
      </c>
      <c r="D13">
        <v>105</v>
      </c>
      <c r="E13">
        <v>10</v>
      </c>
      <c r="F13" s="1">
        <f t="shared" si="0"/>
        <v>0.21807499999999999</v>
      </c>
      <c r="G13">
        <v>6</v>
      </c>
      <c r="I13">
        <v>4</v>
      </c>
      <c r="J13">
        <v>2</v>
      </c>
      <c r="L13">
        <v>1.4999999999999999E-2</v>
      </c>
      <c r="M13">
        <v>0.5</v>
      </c>
      <c r="N13">
        <v>0.5</v>
      </c>
      <c r="P13">
        <v>1</v>
      </c>
      <c r="Q13" s="1">
        <v>11192.5</v>
      </c>
      <c r="R13" s="1">
        <v>14390.148799105971</v>
      </c>
    </row>
    <row r="14" spans="1:18" x14ac:dyDescent="0.3">
      <c r="A14" t="s">
        <v>24</v>
      </c>
      <c r="B14">
        <v>227</v>
      </c>
      <c r="C14">
        <v>160</v>
      </c>
      <c r="D14">
        <v>65</v>
      </c>
      <c r="E14">
        <v>2</v>
      </c>
      <c r="F14" s="1">
        <f t="shared" si="0"/>
        <v>1.176E-2</v>
      </c>
      <c r="G14">
        <v>1</v>
      </c>
      <c r="I14">
        <v>0.5</v>
      </c>
      <c r="J14">
        <v>0.25</v>
      </c>
      <c r="L14">
        <v>0.01</v>
      </c>
      <c r="M14">
        <v>0.28999999999999998</v>
      </c>
      <c r="N14">
        <v>0.1</v>
      </c>
      <c r="P14">
        <v>0.5</v>
      </c>
      <c r="Q14" s="1">
        <v>1973.55</v>
      </c>
      <c r="R14" s="1">
        <v>4799.0736701323394</v>
      </c>
    </row>
    <row r="15" spans="1:18" x14ac:dyDescent="0.3">
      <c r="A15" t="s">
        <v>25</v>
      </c>
      <c r="B15">
        <v>585</v>
      </c>
      <c r="C15">
        <v>475</v>
      </c>
      <c r="D15">
        <v>95</v>
      </c>
      <c r="E15">
        <v>2</v>
      </c>
      <c r="F15" s="1">
        <f t="shared" si="0"/>
        <v>0.19947500000000001</v>
      </c>
      <c r="H15">
        <v>4.4000000000000004</v>
      </c>
      <c r="I15">
        <v>6.2</v>
      </c>
      <c r="J15">
        <v>3.1</v>
      </c>
      <c r="L15">
        <v>1.4999999999999999E-2</v>
      </c>
      <c r="M15">
        <v>0.5</v>
      </c>
      <c r="N15">
        <v>0.7</v>
      </c>
      <c r="P15">
        <v>4</v>
      </c>
      <c r="Q15" s="1">
        <v>9821</v>
      </c>
      <c r="R15" s="1">
        <v>13113.350369608639</v>
      </c>
    </row>
    <row r="16" spans="1:18" x14ac:dyDescent="0.3">
      <c r="A16" t="s">
        <v>26</v>
      </c>
      <c r="B16">
        <v>1270</v>
      </c>
      <c r="C16">
        <v>570</v>
      </c>
      <c r="D16">
        <v>87</v>
      </c>
      <c r="E16">
        <v>10</v>
      </c>
      <c r="F16" s="1">
        <f t="shared" si="0"/>
        <v>0.58309999999999995</v>
      </c>
      <c r="G16">
        <v>17</v>
      </c>
      <c r="I16">
        <v>8</v>
      </c>
      <c r="J16">
        <v>4</v>
      </c>
      <c r="K16">
        <v>1</v>
      </c>
      <c r="L16">
        <v>4.5</v>
      </c>
      <c r="M16">
        <v>14.55</v>
      </c>
      <c r="N16">
        <v>0.6</v>
      </c>
      <c r="P16">
        <v>8</v>
      </c>
      <c r="Q16" s="1">
        <v>47585</v>
      </c>
      <c r="R16" s="1">
        <v>24249.242245688281</v>
      </c>
    </row>
    <row r="17" spans="1:18" x14ac:dyDescent="0.3">
      <c r="A17" t="s">
        <v>27</v>
      </c>
      <c r="B17">
        <v>365</v>
      </c>
      <c r="C17">
        <v>200</v>
      </c>
      <c r="D17">
        <v>90</v>
      </c>
      <c r="E17">
        <v>2</v>
      </c>
      <c r="F17" s="1">
        <f t="shared" si="0"/>
        <v>3.4200000000000001E-2</v>
      </c>
      <c r="G17">
        <v>2.2000000000000002</v>
      </c>
      <c r="I17">
        <v>1.2</v>
      </c>
      <c r="J17">
        <v>0.6</v>
      </c>
      <c r="L17">
        <v>0.01</v>
      </c>
      <c r="M17">
        <v>0.33</v>
      </c>
      <c r="N17">
        <v>0.1</v>
      </c>
      <c r="P17">
        <v>4</v>
      </c>
      <c r="Q17" s="1">
        <v>4143.6000000000004</v>
      </c>
      <c r="R17" s="1">
        <v>6739.7616912720005</v>
      </c>
    </row>
    <row r="18" spans="1:18" x14ac:dyDescent="0.3">
      <c r="A18" t="s">
        <v>28</v>
      </c>
      <c r="B18">
        <v>275</v>
      </c>
      <c r="C18">
        <v>185</v>
      </c>
      <c r="D18">
        <v>85</v>
      </c>
      <c r="E18">
        <v>2</v>
      </c>
      <c r="F18" s="1">
        <f t="shared" si="0"/>
        <v>2.0475E-2</v>
      </c>
      <c r="H18">
        <v>1.55</v>
      </c>
      <c r="I18">
        <v>1</v>
      </c>
      <c r="J18">
        <v>0.5</v>
      </c>
      <c r="L18">
        <v>0.01</v>
      </c>
      <c r="M18">
        <v>0.35</v>
      </c>
      <c r="N18">
        <v>0.1</v>
      </c>
      <c r="P18">
        <v>3</v>
      </c>
      <c r="Q18" s="1">
        <v>2967.5</v>
      </c>
      <c r="R18" s="1">
        <v>5645.7135479690123</v>
      </c>
    </row>
    <row r="19" spans="1:18" x14ac:dyDescent="0.3">
      <c r="A19" t="s">
        <v>29</v>
      </c>
      <c r="B19">
        <v>1260</v>
      </c>
      <c r="C19">
        <v>710</v>
      </c>
      <c r="D19">
        <v>90</v>
      </c>
      <c r="E19">
        <v>1</v>
      </c>
      <c r="F19" s="1">
        <f t="shared" si="0"/>
        <v>0.74339999999999995</v>
      </c>
      <c r="G19">
        <v>14.5</v>
      </c>
      <c r="I19">
        <v>10</v>
      </c>
      <c r="J19">
        <v>5</v>
      </c>
      <c r="L19">
        <v>0.03</v>
      </c>
      <c r="M19">
        <v>1</v>
      </c>
      <c r="N19">
        <v>1</v>
      </c>
      <c r="P19">
        <v>4</v>
      </c>
      <c r="Q19" s="1">
        <v>27064</v>
      </c>
      <c r="R19" s="1">
        <v>26773.35561061489</v>
      </c>
    </row>
    <row r="20" spans="1:18" x14ac:dyDescent="0.3">
      <c r="A20" t="s">
        <v>30</v>
      </c>
      <c r="B20">
        <v>970</v>
      </c>
      <c r="C20">
        <v>280</v>
      </c>
      <c r="D20">
        <v>90</v>
      </c>
      <c r="E20">
        <v>1</v>
      </c>
      <c r="F20" s="1">
        <f t="shared" si="0"/>
        <v>0.17799999999999999</v>
      </c>
      <c r="G20">
        <v>6.6</v>
      </c>
      <c r="I20">
        <v>2.8</v>
      </c>
      <c r="J20">
        <v>1.4</v>
      </c>
      <c r="K20">
        <v>3</v>
      </c>
      <c r="L20">
        <v>0.02</v>
      </c>
      <c r="M20">
        <v>0.5</v>
      </c>
      <c r="N20">
        <v>0.4</v>
      </c>
      <c r="P20">
        <v>6</v>
      </c>
      <c r="Q20" s="1">
        <v>12270</v>
      </c>
      <c r="R20" s="1">
        <v>13283.174841838081</v>
      </c>
    </row>
    <row r="21" spans="1:18" x14ac:dyDescent="0.3">
      <c r="A21" t="s">
        <v>31</v>
      </c>
      <c r="B21">
        <v>330</v>
      </c>
      <c r="C21">
        <v>270</v>
      </c>
      <c r="D21">
        <v>70</v>
      </c>
      <c r="E21">
        <v>2</v>
      </c>
      <c r="F21" s="1">
        <f t="shared" si="0"/>
        <v>4.7500000000000001E-2</v>
      </c>
      <c r="G21">
        <v>1.5</v>
      </c>
      <c r="I21">
        <v>2</v>
      </c>
      <c r="J21">
        <v>1</v>
      </c>
      <c r="L21">
        <v>0.03</v>
      </c>
      <c r="M21">
        <v>0.5</v>
      </c>
      <c r="N21">
        <v>0.2</v>
      </c>
      <c r="P21">
        <v>1</v>
      </c>
      <c r="Q21" s="1">
        <v>3760.5</v>
      </c>
      <c r="R21" s="1">
        <v>7043.3754904261205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2932-E8C5-4DF0-9B23-988EE3056021}">
  <sheetPr codeName="Лист2"/>
  <dimension ref="A1:K2"/>
  <sheetViews>
    <sheetView workbookViewId="0">
      <selection activeCell="H2" sqref="H2"/>
    </sheetView>
  </sheetViews>
  <sheetFormatPr defaultRowHeight="14.4" x14ac:dyDescent="0.3"/>
  <cols>
    <col min="1" max="1" width="14.6640625" bestFit="1" customWidth="1"/>
    <col min="2" max="2" width="15.44140625" bestFit="1" customWidth="1"/>
    <col min="3" max="3" width="18.5546875" bestFit="1" customWidth="1"/>
    <col min="4" max="4" width="31.44140625" bestFit="1" customWidth="1"/>
    <col min="5" max="5" width="10.5546875" bestFit="1" customWidth="1"/>
    <col min="6" max="6" width="20.33203125" bestFit="1" customWidth="1"/>
    <col min="7" max="7" width="21.44140625" bestFit="1" customWidth="1"/>
    <col min="8" max="8" width="12.44140625" bestFit="1" customWidth="1"/>
    <col min="9" max="9" width="16.33203125" bestFit="1" customWidth="1"/>
    <col min="10" max="10" width="13.109375" customWidth="1"/>
  </cols>
  <sheetData>
    <row r="1" spans="1:11" x14ac:dyDescent="0.3">
      <c r="A1" t="s">
        <v>2</v>
      </c>
      <c r="B1" t="s">
        <v>4</v>
      </c>
      <c r="C1" t="s">
        <v>5</v>
      </c>
      <c r="D1" t="s">
        <v>6</v>
      </c>
      <c r="E1" t="s">
        <v>15</v>
      </c>
      <c r="F1" t="s">
        <v>7</v>
      </c>
      <c r="G1" t="s">
        <v>8</v>
      </c>
      <c r="H1" t="s">
        <v>9</v>
      </c>
      <c r="I1" t="s">
        <v>16</v>
      </c>
      <c r="J1" t="s">
        <v>10</v>
      </c>
      <c r="K1" t="s">
        <v>32</v>
      </c>
    </row>
    <row r="2" spans="1:11" x14ac:dyDescent="0.3">
      <c r="A2">
        <v>1400</v>
      </c>
      <c r="B2">
        <v>1300</v>
      </c>
      <c r="C2">
        <v>340</v>
      </c>
      <c r="D2">
        <v>470</v>
      </c>
      <c r="E2">
        <v>283</v>
      </c>
      <c r="F2">
        <v>1200</v>
      </c>
      <c r="G2">
        <v>920</v>
      </c>
      <c r="I2">
        <v>735</v>
      </c>
      <c r="J2">
        <v>14.5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Иванова</dc:creator>
  <cp:lastModifiedBy>Irishka</cp:lastModifiedBy>
  <dcterms:created xsi:type="dcterms:W3CDTF">2025-09-24T10:08:39Z</dcterms:created>
  <dcterms:modified xsi:type="dcterms:W3CDTF">2025-10-01T17:49:40Z</dcterms:modified>
</cp:coreProperties>
</file>